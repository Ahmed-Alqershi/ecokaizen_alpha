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qer\Desktop\Kaizen\EcoKaizen\Dr.Houyam_sessions\Model Types\3 Static Open Gov\"/>
    </mc:Choice>
  </mc:AlternateContent>
  <xr:revisionPtr revIDLastSave="0" documentId="13_ncr:1_{89B33E21-597B-4429-8380-BAFB437D09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" l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B21" i="2"/>
  <c r="O27" i="2"/>
  <c r="P27" i="2"/>
  <c r="Q27" i="2"/>
  <c r="R27" i="2"/>
  <c r="S27" i="2"/>
  <c r="T27" i="2"/>
  <c r="U27" i="2"/>
  <c r="V27" i="2"/>
  <c r="W27" i="2"/>
  <c r="X27" i="2"/>
  <c r="N27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6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S17" i="2"/>
  <c r="Q20" i="2" s="1"/>
  <c r="S16" i="2"/>
  <c r="P20" i="2" s="1"/>
  <c r="S15" i="2"/>
  <c r="O20" i="2" s="1"/>
  <c r="S14" i="2"/>
  <c r="N20" i="2" s="1"/>
  <c r="S13" i="2"/>
  <c r="M20" i="2" s="1"/>
  <c r="S12" i="2"/>
  <c r="L20" i="2" s="1"/>
  <c r="S11" i="2"/>
  <c r="K20" i="2" s="1"/>
  <c r="S10" i="2"/>
  <c r="J20" i="2" s="1"/>
  <c r="S9" i="2"/>
  <c r="I20" i="2" s="1"/>
  <c r="S8" i="2"/>
  <c r="H20" i="2" s="1"/>
  <c r="S7" i="2"/>
  <c r="G20" i="2" s="1"/>
  <c r="S6" i="2"/>
  <c r="F20" i="2" s="1"/>
  <c r="S5" i="2"/>
  <c r="E20" i="2" s="1"/>
  <c r="S4" i="2"/>
  <c r="D20" i="2" s="1"/>
  <c r="S3" i="2"/>
  <c r="C20" i="2" s="1"/>
  <c r="S2" i="2"/>
  <c r="B20" i="2" s="1"/>
</calcChain>
</file>

<file path=xl/sharedStrings.xml><?xml version="1.0" encoding="utf-8"?>
<sst xmlns="http://schemas.openxmlformats.org/spreadsheetml/2006/main" count="64" uniqueCount="16">
  <si>
    <t>LAB</t>
  </si>
  <si>
    <t>CAP</t>
  </si>
  <si>
    <t>FIRMS</t>
  </si>
  <si>
    <t>GOVMT</t>
  </si>
  <si>
    <t>ROW</t>
  </si>
  <si>
    <t>DIRECT_TX</t>
  </si>
  <si>
    <t>INDIR_TX</t>
  </si>
  <si>
    <t>IMP_TX</t>
  </si>
  <si>
    <t>AGRIC</t>
  </si>
  <si>
    <t>EXTRACT</t>
  </si>
  <si>
    <t>OIL_GAS</t>
  </si>
  <si>
    <t>MANUF</t>
  </si>
  <si>
    <t>SERV</t>
  </si>
  <si>
    <t>ACCUM</t>
  </si>
  <si>
    <t>HOUSEH1</t>
  </si>
  <si>
    <t>HOUSEH2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</si>
</sst>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 * #,##0.000_)\ _$_ ;_ * \(#,##0.000\)\ _$_ ;_ * &quot;-&quot;??_)\ _$_ ;_ @_ 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2">
    <cellStyle name="Comma 2" xfId="1" xr:uid="{8CFC0521-9940-4F60-BEEC-16E9808090F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activeCell="K32" sqref="K32"/>
    </sheetView>
  </sheetViews>
  <sheetFormatPr defaultRowHeight="15" x14ac:dyDescent="0.25"/>
  <cols>
    <col min="1" max="17" width="10.7109375" style="1" customWidth="1"/>
  </cols>
  <sheetData>
    <row r="1" spans="1:19" x14ac:dyDescent="0.2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0</v>
      </c>
      <c r="H1" s="1" t="s">
        <v>1</v>
      </c>
      <c r="I1" s="1" t="s">
        <v>14</v>
      </c>
      <c r="J1" s="1" t="s">
        <v>15</v>
      </c>
      <c r="K1" s="1" t="s">
        <v>2</v>
      </c>
      <c r="L1" s="1" t="s">
        <v>5</v>
      </c>
      <c r="M1" s="1" t="s">
        <v>6</v>
      </c>
      <c r="N1" s="1" t="s">
        <v>7</v>
      </c>
      <c r="O1" s="1" t="s">
        <v>3</v>
      </c>
      <c r="P1" s="1" t="s">
        <v>4</v>
      </c>
      <c r="Q1" s="1" t="s">
        <v>13</v>
      </c>
    </row>
    <row r="2" spans="1:19" x14ac:dyDescent="0.25">
      <c r="A2" s="1" t="s">
        <v>8</v>
      </c>
      <c r="B2" s="2">
        <v>8.1129999999999995</v>
      </c>
      <c r="C2" s="2">
        <v>1.2999999999999999E-2</v>
      </c>
      <c r="D2" s="2">
        <v>2.7E-2</v>
      </c>
      <c r="E2" s="2">
        <v>24.41</v>
      </c>
      <c r="F2" s="3">
        <v>2.3759999999999999</v>
      </c>
      <c r="G2" s="4"/>
      <c r="H2" s="4"/>
      <c r="I2" s="1">
        <v>1.4390805</v>
      </c>
      <c r="J2" s="1">
        <v>4.3172414999999997</v>
      </c>
      <c r="K2" s="4"/>
      <c r="L2" s="2"/>
      <c r="M2" s="2"/>
      <c r="N2" s="2"/>
      <c r="O2" s="4">
        <v>0</v>
      </c>
      <c r="P2" s="2">
        <v>7.5970000000000004</v>
      </c>
      <c r="Q2" s="1">
        <v>1.093</v>
      </c>
      <c r="R2" s="6"/>
      <c r="S2" s="6"/>
    </row>
    <row r="3" spans="1:19" x14ac:dyDescent="0.25">
      <c r="A3" s="1" t="s">
        <v>9</v>
      </c>
      <c r="B3" s="2">
        <v>4.9000000000000002E-2</v>
      </c>
      <c r="C3" s="2">
        <v>0.57499999999999996</v>
      </c>
      <c r="D3" s="2">
        <v>3.032</v>
      </c>
      <c r="E3" s="2">
        <v>7.9470000000000001</v>
      </c>
      <c r="F3" s="2">
        <v>7.4470000000000001</v>
      </c>
      <c r="G3" s="4"/>
      <c r="H3" s="4"/>
      <c r="I3" s="1">
        <v>2.325E-2</v>
      </c>
      <c r="J3" s="1">
        <v>6.9750000000000006E-2</v>
      </c>
      <c r="K3" s="4"/>
      <c r="L3" s="2"/>
      <c r="M3" s="2"/>
      <c r="N3" s="2"/>
      <c r="O3" s="4">
        <v>0</v>
      </c>
      <c r="P3" s="2">
        <v>8.1180000000000003</v>
      </c>
      <c r="Q3" s="1">
        <v>0.33</v>
      </c>
      <c r="R3" s="6"/>
      <c r="S3" s="6"/>
    </row>
    <row r="4" spans="1:19" x14ac:dyDescent="0.25">
      <c r="A4" s="1" t="s">
        <v>10</v>
      </c>
      <c r="B4" s="2">
        <v>1.5589999999999999</v>
      </c>
      <c r="C4" s="2">
        <v>0.97899999999999998</v>
      </c>
      <c r="D4" s="2">
        <v>31.463000000000001</v>
      </c>
      <c r="E4" s="2">
        <v>14.659000000000001</v>
      </c>
      <c r="F4" s="2">
        <v>14.199</v>
      </c>
      <c r="G4" s="2"/>
      <c r="H4" s="2"/>
      <c r="I4" s="1">
        <v>3.0874999999999999</v>
      </c>
      <c r="J4" s="1">
        <v>9.2624999999999993</v>
      </c>
      <c r="K4" s="2"/>
      <c r="L4" s="2"/>
      <c r="M4" s="2"/>
      <c r="N4" s="2"/>
      <c r="O4" s="2">
        <v>0</v>
      </c>
      <c r="P4" s="2">
        <v>47.771000000000001</v>
      </c>
      <c r="Q4" s="1">
        <v>2.1949999999999998</v>
      </c>
      <c r="R4" s="6"/>
      <c r="S4" s="6"/>
    </row>
    <row r="5" spans="1:19" x14ac:dyDescent="0.25">
      <c r="A5" s="1" t="s">
        <v>11</v>
      </c>
      <c r="B5" s="2">
        <v>10.138</v>
      </c>
      <c r="C5" s="2">
        <v>3.4390000000000001</v>
      </c>
      <c r="D5" s="2">
        <v>6.7789999999999999</v>
      </c>
      <c r="E5" s="2">
        <v>202.93199999999999</v>
      </c>
      <c r="F5" s="2">
        <v>115.53100000000001</v>
      </c>
      <c r="G5" s="2"/>
      <c r="H5" s="2"/>
      <c r="I5" s="1">
        <v>28.63775</v>
      </c>
      <c r="J5" s="1">
        <v>85.913250000000005</v>
      </c>
      <c r="K5" s="2"/>
      <c r="L5" s="2"/>
      <c r="M5" s="2"/>
      <c r="N5" s="2"/>
      <c r="O5" s="2">
        <v>0</v>
      </c>
      <c r="P5" s="2">
        <v>255.83699999999999</v>
      </c>
      <c r="Q5" s="1">
        <v>49.996000000000002</v>
      </c>
      <c r="R5" s="6"/>
      <c r="S5" s="6"/>
    </row>
    <row r="6" spans="1:19" x14ac:dyDescent="0.25">
      <c r="A6" s="1" t="s">
        <v>12</v>
      </c>
      <c r="B6" s="2">
        <v>7.94</v>
      </c>
      <c r="C6" s="2">
        <v>4.2469999999999999</v>
      </c>
      <c r="D6" s="2">
        <v>10.97</v>
      </c>
      <c r="E6" s="2">
        <v>76.811999999999998</v>
      </c>
      <c r="F6" s="2">
        <v>279.86399999999998</v>
      </c>
      <c r="G6" s="2"/>
      <c r="H6" s="2"/>
      <c r="I6" s="1">
        <v>88.793000000000006</v>
      </c>
      <c r="J6" s="1">
        <v>266.37900000000002</v>
      </c>
      <c r="K6" s="2"/>
      <c r="L6" s="2"/>
      <c r="M6" s="2"/>
      <c r="N6" s="2"/>
      <c r="O6" s="2">
        <v>186.65</v>
      </c>
      <c r="P6" s="2">
        <v>52.179000000000002</v>
      </c>
      <c r="Q6" s="1">
        <v>137.61699999999999</v>
      </c>
      <c r="R6" s="6"/>
      <c r="S6" s="6"/>
    </row>
    <row r="7" spans="1:19" x14ac:dyDescent="0.25">
      <c r="A7" s="1" t="s">
        <v>0</v>
      </c>
      <c r="B7" s="2">
        <v>7.4340000000000002</v>
      </c>
      <c r="C7" s="2">
        <v>6.585</v>
      </c>
      <c r="D7" s="2">
        <v>5.4189999999999996</v>
      </c>
      <c r="E7" s="2">
        <v>103.43</v>
      </c>
      <c r="F7" s="2">
        <v>397.53500000000003</v>
      </c>
      <c r="G7" s="2"/>
      <c r="H7" s="2"/>
      <c r="K7" s="2"/>
      <c r="L7" s="2"/>
      <c r="M7" s="2"/>
      <c r="N7" s="2"/>
      <c r="O7" s="2"/>
      <c r="P7" s="2"/>
      <c r="R7" s="6"/>
      <c r="S7" s="6"/>
    </row>
    <row r="8" spans="1:19" x14ac:dyDescent="0.25">
      <c r="A8" s="1" t="s">
        <v>1</v>
      </c>
      <c r="B8" s="2">
        <v>10.615</v>
      </c>
      <c r="C8" s="2">
        <v>7.7089999999999996</v>
      </c>
      <c r="D8" s="2">
        <v>46.76</v>
      </c>
      <c r="E8" s="2">
        <v>66.299000000000007</v>
      </c>
      <c r="F8" s="2">
        <v>204.709</v>
      </c>
      <c r="G8" s="2"/>
      <c r="H8" s="2"/>
      <c r="K8" s="2"/>
      <c r="L8" s="2"/>
      <c r="M8" s="2"/>
      <c r="N8" s="2"/>
      <c r="O8" s="2"/>
      <c r="P8" s="2"/>
      <c r="R8" s="6"/>
      <c r="S8" s="6"/>
    </row>
    <row r="9" spans="1:19" x14ac:dyDescent="0.25">
      <c r="A9" s="1" t="s">
        <v>14</v>
      </c>
      <c r="B9" s="4"/>
      <c r="C9" s="4"/>
      <c r="D9" s="4"/>
      <c r="E9" s="4"/>
      <c r="F9" s="2"/>
      <c r="G9" s="1">
        <v>130.10075000000001</v>
      </c>
      <c r="H9" s="1">
        <v>27.939</v>
      </c>
      <c r="O9" s="1">
        <v>28.074249999999999</v>
      </c>
      <c r="P9" s="1">
        <v>-4.9947499999999998</v>
      </c>
      <c r="R9" s="6"/>
      <c r="S9" s="6"/>
    </row>
    <row r="10" spans="1:19" x14ac:dyDescent="0.25">
      <c r="A10" s="1" t="s">
        <v>15</v>
      </c>
      <c r="B10" s="4"/>
      <c r="C10" s="4"/>
      <c r="D10" s="4"/>
      <c r="E10" s="4"/>
      <c r="F10" s="2"/>
      <c r="G10" s="1">
        <v>390.30225000000002</v>
      </c>
      <c r="H10" s="1">
        <v>83.817000000000007</v>
      </c>
      <c r="O10" s="1">
        <v>84.222749999999991</v>
      </c>
      <c r="P10" s="1">
        <v>-14.984249999999999</v>
      </c>
      <c r="R10" s="6"/>
      <c r="S10" s="6"/>
    </row>
    <row r="11" spans="1:19" x14ac:dyDescent="0.25">
      <c r="A11" s="1" t="s">
        <v>2</v>
      </c>
      <c r="B11" s="4"/>
      <c r="C11" s="4"/>
      <c r="D11" s="4"/>
      <c r="E11" s="4"/>
      <c r="F11" s="2"/>
      <c r="G11" s="2"/>
      <c r="H11" s="2">
        <v>224.33600000000001</v>
      </c>
      <c r="K11" s="2"/>
      <c r="L11" s="2"/>
      <c r="M11" s="4"/>
      <c r="N11" s="4"/>
      <c r="O11" s="2"/>
      <c r="P11" s="2"/>
      <c r="R11" s="6"/>
      <c r="S11" s="6"/>
    </row>
    <row r="12" spans="1:19" x14ac:dyDescent="0.25">
      <c r="A12" s="1" t="s">
        <v>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4"/>
      <c r="H12" s="4"/>
      <c r="I12" s="1">
        <v>41.927250000000001</v>
      </c>
      <c r="J12" s="1">
        <v>125.78175</v>
      </c>
      <c r="K12" s="4">
        <v>34.49</v>
      </c>
      <c r="L12" s="2"/>
      <c r="M12" s="2"/>
      <c r="N12" s="2"/>
      <c r="O12" s="4"/>
      <c r="P12" s="2"/>
      <c r="R12" s="6"/>
      <c r="S12" s="6"/>
    </row>
    <row r="13" spans="1:19" x14ac:dyDescent="0.25">
      <c r="A13" s="1" t="s">
        <v>6</v>
      </c>
      <c r="B13" s="5">
        <v>-2.3039999999999998</v>
      </c>
      <c r="C13" s="2">
        <v>0.27700000000000002</v>
      </c>
      <c r="D13" s="2">
        <v>0.85699999999999998</v>
      </c>
      <c r="E13" s="2">
        <v>4.8079999999999998</v>
      </c>
      <c r="F13" s="2">
        <v>44.438000000000002</v>
      </c>
      <c r="G13" s="4"/>
      <c r="H13" s="4"/>
      <c r="I13" s="1">
        <v>13.093999999999999</v>
      </c>
      <c r="J13" s="1">
        <v>39.281999999999996</v>
      </c>
      <c r="K13" s="4"/>
      <c r="L13" s="2"/>
      <c r="M13" s="2"/>
      <c r="N13" s="2"/>
      <c r="O13" s="4"/>
      <c r="P13" s="2"/>
      <c r="Q13" s="1">
        <v>8.9740000000000002</v>
      </c>
      <c r="R13" s="6"/>
      <c r="S13" s="6"/>
    </row>
    <row r="14" spans="1:19" x14ac:dyDescent="0.25">
      <c r="A14" s="1" t="s">
        <v>7</v>
      </c>
      <c r="B14" s="2">
        <v>3.7999999999999999E-2</v>
      </c>
      <c r="C14" s="2">
        <v>2.4E-2</v>
      </c>
      <c r="D14" s="2">
        <v>0.13</v>
      </c>
      <c r="E14" s="2">
        <v>1.698</v>
      </c>
      <c r="F14" s="2">
        <v>0.30099999999999999</v>
      </c>
      <c r="G14" s="4"/>
      <c r="H14" s="4"/>
      <c r="K14" s="4"/>
      <c r="L14" s="2"/>
      <c r="M14" s="2"/>
      <c r="N14" s="2"/>
      <c r="O14" s="4"/>
      <c r="P14" s="2"/>
      <c r="Q14" s="1">
        <v>0</v>
      </c>
      <c r="R14" s="6"/>
      <c r="S14" s="6"/>
    </row>
    <row r="15" spans="1:19" x14ac:dyDescent="0.25">
      <c r="A15" s="1" t="s">
        <v>3</v>
      </c>
      <c r="B15" s="4"/>
      <c r="C15" s="4"/>
      <c r="D15" s="4"/>
      <c r="E15" s="4"/>
      <c r="F15" s="2"/>
      <c r="G15" s="4"/>
      <c r="H15" s="4"/>
      <c r="K15" s="4"/>
      <c r="L15" s="2">
        <v>202.19900000000001</v>
      </c>
      <c r="M15" s="4">
        <v>109.426</v>
      </c>
      <c r="N15" s="4">
        <v>2.1909999999999998</v>
      </c>
      <c r="O15" s="4"/>
      <c r="P15" s="2"/>
      <c r="R15" s="6"/>
      <c r="S15" s="6"/>
    </row>
    <row r="16" spans="1:19" x14ac:dyDescent="0.25">
      <c r="A16" s="1" t="s">
        <v>4</v>
      </c>
      <c r="B16" s="4">
        <v>5.8029999999999999</v>
      </c>
      <c r="C16" s="4">
        <v>3.7429999999999999</v>
      </c>
      <c r="D16" s="4">
        <v>19.738</v>
      </c>
      <c r="E16" s="4">
        <v>256.20800000000003</v>
      </c>
      <c r="F16" s="2">
        <v>45.051000000000002</v>
      </c>
      <c r="G16" s="4"/>
      <c r="H16" s="4"/>
      <c r="K16" s="2"/>
      <c r="L16" s="2"/>
      <c r="M16" s="4"/>
      <c r="N16" s="4"/>
      <c r="O16" s="4"/>
      <c r="P16" s="2"/>
      <c r="R16" s="6"/>
      <c r="S16" s="6"/>
    </row>
    <row r="17" spans="1:19" x14ac:dyDescent="0.25">
      <c r="A17" s="1" t="s">
        <v>13</v>
      </c>
      <c r="I17" s="1">
        <v>4.1174999999999997</v>
      </c>
      <c r="J17" s="1">
        <v>12.352499999999999</v>
      </c>
      <c r="K17" s="1">
        <v>189.846</v>
      </c>
      <c r="O17" s="1">
        <v>14.869</v>
      </c>
      <c r="P17" s="5">
        <v>-20.98</v>
      </c>
      <c r="R17" s="6"/>
      <c r="S17" s="6"/>
    </row>
    <row r="19" spans="1:19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9" x14ac:dyDescent="0.25">
      <c r="B20" s="2"/>
    </row>
    <row r="21" spans="1:19" x14ac:dyDescent="0.25">
      <c r="B21" s="2"/>
    </row>
    <row r="22" spans="1: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9" x14ac:dyDescent="0.25">
      <c r="B23" s="2"/>
    </row>
    <row r="24" spans="1:19" x14ac:dyDescent="0.25">
      <c r="B24" s="2"/>
    </row>
    <row r="25" spans="1:19" x14ac:dyDescent="0.25">
      <c r="B25" s="2"/>
    </row>
    <row r="26" spans="1:19" x14ac:dyDescent="0.25">
      <c r="B26" s="2"/>
    </row>
    <row r="27" spans="1:19" x14ac:dyDescent="0.25">
      <c r="B27" s="2"/>
    </row>
    <row r="28" spans="1:19" x14ac:dyDescent="0.25">
      <c r="B28" s="2"/>
    </row>
    <row r="29" spans="1:19" x14ac:dyDescent="0.25">
      <c r="B29" s="2"/>
    </row>
    <row r="30" spans="1:19" x14ac:dyDescent="0.25">
      <c r="B30" s="2"/>
    </row>
    <row r="31" spans="1:19" x14ac:dyDescent="0.25">
      <c r="B31" s="2"/>
    </row>
    <row r="32" spans="1:19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49EB-FF31-4F6D-B80A-3DD85A7B2777}">
  <dimension ref="A1:X43"/>
  <sheetViews>
    <sheetView workbookViewId="0">
      <selection sqref="A1:Q17"/>
    </sheetView>
  </sheetViews>
  <sheetFormatPr defaultRowHeight="15" x14ac:dyDescent="0.25"/>
  <cols>
    <col min="1" max="17" width="10.7109375" style="1" customWidth="1"/>
  </cols>
  <sheetData>
    <row r="1" spans="1:19" x14ac:dyDescent="0.2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0</v>
      </c>
      <c r="H1" s="1" t="s">
        <v>1</v>
      </c>
      <c r="I1" s="1" t="s">
        <v>14</v>
      </c>
      <c r="J1" s="1" t="s">
        <v>15</v>
      </c>
      <c r="K1" s="1" t="s">
        <v>2</v>
      </c>
      <c r="L1" s="1" t="s">
        <v>5</v>
      </c>
      <c r="M1" s="1" t="s">
        <v>6</v>
      </c>
      <c r="N1" s="1" t="s">
        <v>7</v>
      </c>
      <c r="O1" s="1" t="s">
        <v>3</v>
      </c>
      <c r="P1" s="1" t="s">
        <v>4</v>
      </c>
      <c r="Q1" s="1" t="s">
        <v>13</v>
      </c>
    </row>
    <row r="2" spans="1:19" x14ac:dyDescent="0.25">
      <c r="A2" s="1" t="s">
        <v>8</v>
      </c>
      <c r="B2" s="2">
        <v>8.1129999999999995</v>
      </c>
      <c r="C2" s="2">
        <v>1.2999999999999999E-2</v>
      </c>
      <c r="D2" s="2">
        <v>2.7E-2</v>
      </c>
      <c r="E2" s="2">
        <v>24.41</v>
      </c>
      <c r="F2" s="3">
        <v>2.3759999999999999</v>
      </c>
      <c r="G2" s="4"/>
      <c r="H2" s="4"/>
      <c r="I2" s="1">
        <v>1.4390805</v>
      </c>
      <c r="J2" s="1">
        <v>4.3172414999999997</v>
      </c>
      <c r="K2" s="4"/>
      <c r="L2" s="2"/>
      <c r="M2" s="2"/>
      <c r="N2" s="2"/>
      <c r="O2" s="4">
        <v>0</v>
      </c>
      <c r="P2" s="2">
        <v>7.5970000000000004</v>
      </c>
      <c r="Q2" s="1">
        <v>1.093</v>
      </c>
      <c r="R2" s="6"/>
      <c r="S2" s="6">
        <f>SUM(B2:Q2)</f>
        <v>49.385322000000002</v>
      </c>
    </row>
    <row r="3" spans="1:19" x14ac:dyDescent="0.25">
      <c r="A3" s="1" t="s">
        <v>9</v>
      </c>
      <c r="B3" s="2">
        <v>4.9000000000000002E-2</v>
      </c>
      <c r="C3" s="2">
        <v>0.57499999999999996</v>
      </c>
      <c r="D3" s="2">
        <v>3.032</v>
      </c>
      <c r="E3" s="2">
        <v>7.9470000000000001</v>
      </c>
      <c r="F3" s="2">
        <v>7.4470000000000001</v>
      </c>
      <c r="G3" s="4"/>
      <c r="H3" s="4"/>
      <c r="I3" s="1">
        <v>2.325E-2</v>
      </c>
      <c r="J3" s="1">
        <v>6.9750000000000006E-2</v>
      </c>
      <c r="K3" s="4"/>
      <c r="L3" s="2"/>
      <c r="M3" s="2"/>
      <c r="N3" s="2"/>
      <c r="O3" s="4">
        <v>0</v>
      </c>
      <c r="P3" s="2">
        <v>8.1180000000000003</v>
      </c>
      <c r="Q3" s="1">
        <v>0.33</v>
      </c>
      <c r="R3" s="6"/>
      <c r="S3" s="6">
        <f t="shared" ref="S3:S17" si="0">SUM(B3:Q3)</f>
        <v>27.591000000000001</v>
      </c>
    </row>
    <row r="4" spans="1:19" x14ac:dyDescent="0.25">
      <c r="A4" s="1" t="s">
        <v>10</v>
      </c>
      <c r="B4" s="2">
        <v>1.5589999999999999</v>
      </c>
      <c r="C4" s="2">
        <v>0.97899999999999998</v>
      </c>
      <c r="D4" s="2">
        <v>31.463000000000001</v>
      </c>
      <c r="E4" s="2">
        <v>14.659000000000001</v>
      </c>
      <c r="F4" s="2">
        <v>14.199</v>
      </c>
      <c r="G4" s="2"/>
      <c r="H4" s="2"/>
      <c r="I4" s="1">
        <v>3.0874999999999999</v>
      </c>
      <c r="J4" s="1">
        <v>9.2624999999999993</v>
      </c>
      <c r="K4" s="2"/>
      <c r="L4" s="2"/>
      <c r="M4" s="2"/>
      <c r="N4" s="2"/>
      <c r="O4" s="2">
        <v>0</v>
      </c>
      <c r="P4" s="2">
        <v>47.771000000000001</v>
      </c>
      <c r="Q4" s="1">
        <v>2.1949999999999998</v>
      </c>
      <c r="R4" s="6"/>
      <c r="S4" s="6">
        <f t="shared" si="0"/>
        <v>125.175</v>
      </c>
    </row>
    <row r="5" spans="1:19" x14ac:dyDescent="0.25">
      <c r="A5" s="1" t="s">
        <v>11</v>
      </c>
      <c r="B5" s="2">
        <v>10.138</v>
      </c>
      <c r="C5" s="2">
        <v>3.4390000000000001</v>
      </c>
      <c r="D5" s="2">
        <v>6.7789999999999999</v>
      </c>
      <c r="E5" s="2">
        <v>202.93199999999999</v>
      </c>
      <c r="F5" s="2">
        <v>115.53100000000001</v>
      </c>
      <c r="G5" s="2"/>
      <c r="H5" s="2"/>
      <c r="I5" s="1">
        <v>28.63775</v>
      </c>
      <c r="J5" s="1">
        <v>85.913250000000005</v>
      </c>
      <c r="K5" s="2"/>
      <c r="L5" s="2"/>
      <c r="M5" s="2"/>
      <c r="N5" s="2"/>
      <c r="O5" s="2">
        <v>0</v>
      </c>
      <c r="P5" s="2">
        <v>255.83699999999999</v>
      </c>
      <c r="Q5" s="1">
        <v>49.996000000000002</v>
      </c>
      <c r="R5" s="6"/>
      <c r="S5" s="6">
        <f t="shared" si="0"/>
        <v>759.20299999999986</v>
      </c>
    </row>
    <row r="6" spans="1:19" x14ac:dyDescent="0.25">
      <c r="A6" s="1" t="s">
        <v>12</v>
      </c>
      <c r="B6" s="2">
        <v>7.94</v>
      </c>
      <c r="C6" s="2">
        <v>4.2469999999999999</v>
      </c>
      <c r="D6" s="2">
        <v>10.97</v>
      </c>
      <c r="E6" s="2">
        <v>76.811999999999998</v>
      </c>
      <c r="F6" s="2">
        <v>279.86399999999998</v>
      </c>
      <c r="G6" s="2"/>
      <c r="H6" s="2"/>
      <c r="I6" s="1">
        <v>88.793000000000006</v>
      </c>
      <c r="J6" s="1">
        <v>266.37900000000002</v>
      </c>
      <c r="K6" s="2"/>
      <c r="L6" s="2"/>
      <c r="M6" s="2"/>
      <c r="N6" s="2"/>
      <c r="O6" s="2">
        <v>186.65</v>
      </c>
      <c r="P6" s="2">
        <v>52.179000000000002</v>
      </c>
      <c r="Q6" s="1">
        <v>137.61699999999999</v>
      </c>
      <c r="R6" s="6"/>
      <c r="S6" s="6">
        <f t="shared" si="0"/>
        <v>1111.451</v>
      </c>
    </row>
    <row r="7" spans="1:19" x14ac:dyDescent="0.25">
      <c r="A7" s="1" t="s">
        <v>0</v>
      </c>
      <c r="B7" s="2">
        <v>7.4340000000000002</v>
      </c>
      <c r="C7" s="2">
        <v>6.585</v>
      </c>
      <c r="D7" s="2">
        <v>5.4189999999999996</v>
      </c>
      <c r="E7" s="2">
        <v>103.43</v>
      </c>
      <c r="F7" s="2">
        <v>397.53500000000003</v>
      </c>
      <c r="G7" s="2"/>
      <c r="H7" s="2"/>
      <c r="K7" s="2"/>
      <c r="L7" s="2"/>
      <c r="M7" s="2"/>
      <c r="N7" s="2"/>
      <c r="O7" s="2"/>
      <c r="P7" s="2"/>
      <c r="R7" s="6"/>
      <c r="S7" s="6">
        <f t="shared" si="0"/>
        <v>520.40300000000002</v>
      </c>
    </row>
    <row r="8" spans="1:19" x14ac:dyDescent="0.25">
      <c r="A8" s="1" t="s">
        <v>1</v>
      </c>
      <c r="B8" s="2">
        <v>10.615</v>
      </c>
      <c r="C8" s="2">
        <v>7.7089999999999996</v>
      </c>
      <c r="D8" s="2">
        <v>46.76</v>
      </c>
      <c r="E8" s="2">
        <v>66.299000000000007</v>
      </c>
      <c r="F8" s="2">
        <v>204.709</v>
      </c>
      <c r="G8" s="2"/>
      <c r="H8" s="2"/>
      <c r="K8" s="2"/>
      <c r="L8" s="2"/>
      <c r="M8" s="2"/>
      <c r="N8" s="2"/>
      <c r="O8" s="2"/>
      <c r="P8" s="2"/>
      <c r="R8" s="6"/>
      <c r="S8" s="6">
        <f t="shared" si="0"/>
        <v>336.09199999999998</v>
      </c>
    </row>
    <row r="9" spans="1:19" x14ac:dyDescent="0.25">
      <c r="A9" s="1" t="s">
        <v>14</v>
      </c>
      <c r="B9" s="4"/>
      <c r="C9" s="4"/>
      <c r="D9" s="4"/>
      <c r="E9" s="4"/>
      <c r="F9" s="2"/>
      <c r="G9" s="1">
        <v>130.10075000000001</v>
      </c>
      <c r="H9" s="1">
        <v>27.939</v>
      </c>
      <c r="O9" s="1">
        <v>28.074249999999999</v>
      </c>
      <c r="P9" s="1">
        <v>-4.9947499999999998</v>
      </c>
      <c r="R9" s="6"/>
      <c r="S9" s="6">
        <f t="shared" si="0"/>
        <v>181.11924999999999</v>
      </c>
    </row>
    <row r="10" spans="1:19" x14ac:dyDescent="0.25">
      <c r="A10" s="1" t="s">
        <v>15</v>
      </c>
      <c r="B10" s="4"/>
      <c r="C10" s="4"/>
      <c r="D10" s="4"/>
      <c r="E10" s="4"/>
      <c r="F10" s="2"/>
      <c r="G10" s="1">
        <v>390.30225000000002</v>
      </c>
      <c r="H10" s="1">
        <v>83.817000000000007</v>
      </c>
      <c r="O10" s="1">
        <v>84.222749999999991</v>
      </c>
      <c r="P10" s="1">
        <v>-14.984249999999999</v>
      </c>
      <c r="R10" s="6"/>
      <c r="S10" s="6">
        <f t="shared" si="0"/>
        <v>543.35775000000001</v>
      </c>
    </row>
    <row r="11" spans="1:19" x14ac:dyDescent="0.25">
      <c r="A11" s="1" t="s">
        <v>2</v>
      </c>
      <c r="B11" s="4"/>
      <c r="C11" s="4"/>
      <c r="D11" s="4"/>
      <c r="E11" s="4"/>
      <c r="F11" s="2"/>
      <c r="G11" s="2"/>
      <c r="H11" s="2">
        <v>224.33600000000001</v>
      </c>
      <c r="K11" s="2"/>
      <c r="L11" s="2"/>
      <c r="M11" s="4"/>
      <c r="N11" s="4"/>
      <c r="O11" s="2"/>
      <c r="P11" s="2"/>
      <c r="R11" s="6"/>
      <c r="S11" s="6">
        <f t="shared" si="0"/>
        <v>224.33600000000001</v>
      </c>
    </row>
    <row r="12" spans="1:19" x14ac:dyDescent="0.25">
      <c r="A12" s="1" t="s">
        <v>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4"/>
      <c r="H12" s="4"/>
      <c r="I12" s="1">
        <v>41.927250000000001</v>
      </c>
      <c r="J12" s="1">
        <v>125.78175</v>
      </c>
      <c r="K12" s="4">
        <v>34.49</v>
      </c>
      <c r="L12" s="2"/>
      <c r="M12" s="2"/>
      <c r="N12" s="2"/>
      <c r="O12" s="4"/>
      <c r="P12" s="2"/>
      <c r="R12" s="6"/>
      <c r="S12" s="6">
        <f t="shared" si="0"/>
        <v>202.19900000000001</v>
      </c>
    </row>
    <row r="13" spans="1:19" x14ac:dyDescent="0.25">
      <c r="A13" s="1" t="s">
        <v>6</v>
      </c>
      <c r="B13" s="5">
        <v>-2.3039999999999998</v>
      </c>
      <c r="C13" s="2">
        <v>0.27700000000000002</v>
      </c>
      <c r="D13" s="2">
        <v>0.85699999999999998</v>
      </c>
      <c r="E13" s="2">
        <v>4.8079999999999998</v>
      </c>
      <c r="F13" s="2">
        <v>44.438000000000002</v>
      </c>
      <c r="G13" s="4"/>
      <c r="H13" s="4"/>
      <c r="I13" s="1">
        <v>13.093999999999999</v>
      </c>
      <c r="J13" s="1">
        <v>39.281999999999996</v>
      </c>
      <c r="K13" s="4"/>
      <c r="L13" s="2"/>
      <c r="M13" s="2"/>
      <c r="N13" s="2"/>
      <c r="O13" s="4"/>
      <c r="P13" s="2"/>
      <c r="Q13" s="1">
        <v>8.9740000000000002</v>
      </c>
      <c r="R13" s="6"/>
      <c r="S13" s="6">
        <f t="shared" si="0"/>
        <v>109.426</v>
      </c>
    </row>
    <row r="14" spans="1:19" x14ac:dyDescent="0.25">
      <c r="A14" s="1" t="s">
        <v>7</v>
      </c>
      <c r="B14" s="2">
        <v>3.7999999999999999E-2</v>
      </c>
      <c r="C14" s="2">
        <v>2.4E-2</v>
      </c>
      <c r="D14" s="2">
        <v>0.13</v>
      </c>
      <c r="E14" s="2">
        <v>1.698</v>
      </c>
      <c r="F14" s="2">
        <v>0.30099999999999999</v>
      </c>
      <c r="G14" s="4"/>
      <c r="H14" s="4"/>
      <c r="K14" s="4"/>
      <c r="L14" s="2"/>
      <c r="M14" s="2"/>
      <c r="N14" s="2"/>
      <c r="O14" s="4"/>
      <c r="P14" s="2"/>
      <c r="Q14" s="1">
        <v>0</v>
      </c>
      <c r="R14" s="6"/>
      <c r="S14" s="6">
        <f t="shared" si="0"/>
        <v>2.1909999999999998</v>
      </c>
    </row>
    <row r="15" spans="1:19" x14ac:dyDescent="0.25">
      <c r="A15" s="1" t="s">
        <v>3</v>
      </c>
      <c r="B15" s="4"/>
      <c r="C15" s="4"/>
      <c r="D15" s="4"/>
      <c r="E15" s="4"/>
      <c r="F15" s="2"/>
      <c r="G15" s="4"/>
      <c r="H15" s="4"/>
      <c r="K15" s="4"/>
      <c r="L15" s="2">
        <v>202.19900000000001</v>
      </c>
      <c r="M15" s="4">
        <v>109.426</v>
      </c>
      <c r="N15" s="4">
        <v>2.1909999999999998</v>
      </c>
      <c r="O15" s="4"/>
      <c r="P15" s="2"/>
      <c r="R15" s="6"/>
      <c r="S15" s="6">
        <f t="shared" si="0"/>
        <v>313.81599999999997</v>
      </c>
    </row>
    <row r="16" spans="1:19" x14ac:dyDescent="0.25">
      <c r="A16" s="1" t="s">
        <v>4</v>
      </c>
      <c r="B16" s="4">
        <v>5.8029999999999999</v>
      </c>
      <c r="C16" s="4">
        <v>3.7429999999999999</v>
      </c>
      <c r="D16" s="4">
        <v>19.738</v>
      </c>
      <c r="E16" s="4">
        <v>256.20800000000003</v>
      </c>
      <c r="F16" s="2">
        <v>45.051000000000002</v>
      </c>
      <c r="G16" s="4"/>
      <c r="H16" s="4"/>
      <c r="K16" s="2"/>
      <c r="L16" s="2"/>
      <c r="M16" s="4"/>
      <c r="N16" s="4"/>
      <c r="O16" s="4"/>
      <c r="P16" s="2"/>
      <c r="R16" s="6"/>
      <c r="S16" s="6">
        <f t="shared" si="0"/>
        <v>330.54300000000001</v>
      </c>
    </row>
    <row r="17" spans="1:24" x14ac:dyDescent="0.25">
      <c r="A17" s="1" t="s">
        <v>13</v>
      </c>
      <c r="I17" s="1">
        <v>4.1174999999999997</v>
      </c>
      <c r="J17" s="1">
        <v>12.352499999999999</v>
      </c>
      <c r="K17" s="1">
        <v>189.846</v>
      </c>
      <c r="O17" s="1">
        <v>14.869</v>
      </c>
      <c r="P17" s="5">
        <v>-20.98</v>
      </c>
      <c r="R17" s="6"/>
      <c r="S17" s="6">
        <f t="shared" si="0"/>
        <v>200.20500000000001</v>
      </c>
    </row>
    <row r="19" spans="1:24" x14ac:dyDescent="0.25">
      <c r="B19" s="2">
        <f>SUM(B2:B17)</f>
        <v>49.384999999999991</v>
      </c>
      <c r="C19" s="2">
        <f t="shared" ref="C19:Q19" si="1">SUM(C2:C17)</f>
        <v>27.591000000000001</v>
      </c>
      <c r="D19" s="2">
        <f t="shared" si="1"/>
        <v>125.17499999999998</v>
      </c>
      <c r="E19" s="2">
        <f t="shared" si="1"/>
        <v>759.20299999999997</v>
      </c>
      <c r="F19" s="2">
        <f t="shared" si="1"/>
        <v>1111.451</v>
      </c>
      <c r="G19" s="2">
        <f t="shared" si="1"/>
        <v>520.40300000000002</v>
      </c>
      <c r="H19" s="2">
        <f t="shared" si="1"/>
        <v>336.09199999999998</v>
      </c>
      <c r="I19" s="2">
        <f t="shared" si="1"/>
        <v>181.11933049999999</v>
      </c>
      <c r="J19" s="2">
        <f t="shared" si="1"/>
        <v>543.35799150000003</v>
      </c>
      <c r="K19" s="2">
        <f t="shared" si="1"/>
        <v>224.33600000000001</v>
      </c>
      <c r="L19" s="2">
        <f t="shared" si="1"/>
        <v>202.19900000000001</v>
      </c>
      <c r="M19" s="2">
        <f t="shared" si="1"/>
        <v>109.426</v>
      </c>
      <c r="N19" s="2">
        <f t="shared" si="1"/>
        <v>2.1909999999999998</v>
      </c>
      <c r="O19" s="2">
        <f t="shared" si="1"/>
        <v>313.81600000000003</v>
      </c>
      <c r="P19" s="2">
        <f t="shared" si="1"/>
        <v>330.54299999999995</v>
      </c>
      <c r="Q19" s="2">
        <f t="shared" si="1"/>
        <v>200.20499999999998</v>
      </c>
    </row>
    <row r="20" spans="1:24" x14ac:dyDescent="0.25">
      <c r="B20" s="2">
        <f>S2</f>
        <v>49.385322000000002</v>
      </c>
      <c r="C20" s="2">
        <f>S3</f>
        <v>27.591000000000001</v>
      </c>
      <c r="D20" s="2">
        <f>S4</f>
        <v>125.175</v>
      </c>
      <c r="E20" s="2">
        <f>S5</f>
        <v>759.20299999999986</v>
      </c>
      <c r="F20" s="2">
        <f>S6</f>
        <v>1111.451</v>
      </c>
      <c r="G20" s="2">
        <f>S7</f>
        <v>520.40300000000002</v>
      </c>
      <c r="H20" s="2">
        <f>S8</f>
        <v>336.09199999999998</v>
      </c>
      <c r="I20" s="2">
        <f>S9</f>
        <v>181.11924999999999</v>
      </c>
      <c r="J20" s="2">
        <f>S10</f>
        <v>543.35775000000001</v>
      </c>
      <c r="K20" s="2">
        <f>S11</f>
        <v>224.33600000000001</v>
      </c>
      <c r="L20" s="2">
        <f>S12</f>
        <v>202.19900000000001</v>
      </c>
      <c r="M20" s="2">
        <f>S13</f>
        <v>109.426</v>
      </c>
      <c r="N20" s="2">
        <f>S14</f>
        <v>2.1909999999999998</v>
      </c>
      <c r="O20" s="2">
        <f>S15</f>
        <v>313.81599999999997</v>
      </c>
      <c r="P20" s="2">
        <f>S16</f>
        <v>330.54300000000001</v>
      </c>
      <c r="Q20" s="2">
        <f>S17</f>
        <v>200.20500000000001</v>
      </c>
    </row>
    <row r="21" spans="1:24" x14ac:dyDescent="0.25">
      <c r="B21" s="2">
        <f>B19-B20</f>
        <v>-3.2200000001125773E-4</v>
      </c>
      <c r="C21" s="2">
        <f t="shared" ref="C21:Q21" si="2">C19-C20</f>
        <v>0</v>
      </c>
      <c r="D21" s="2">
        <f t="shared" si="2"/>
        <v>0</v>
      </c>
      <c r="E21" s="2">
        <f t="shared" si="2"/>
        <v>0</v>
      </c>
      <c r="F21" s="2">
        <f t="shared" si="2"/>
        <v>0</v>
      </c>
      <c r="G21" s="2">
        <f t="shared" si="2"/>
        <v>0</v>
      </c>
      <c r="H21" s="2">
        <f t="shared" si="2"/>
        <v>0</v>
      </c>
      <c r="I21" s="2">
        <f t="shared" si="2"/>
        <v>8.0499999995709004E-5</v>
      </c>
      <c r="J21" s="2">
        <f t="shared" si="2"/>
        <v>2.4150000001554872E-4</v>
      </c>
      <c r="K21" s="2">
        <f t="shared" si="2"/>
        <v>0</v>
      </c>
      <c r="L21" s="2">
        <f t="shared" si="2"/>
        <v>0</v>
      </c>
      <c r="M21" s="2">
        <f t="shared" si="2"/>
        <v>0</v>
      </c>
      <c r="N21" s="2">
        <f t="shared" si="2"/>
        <v>0</v>
      </c>
      <c r="O21" s="2">
        <f t="shared" si="2"/>
        <v>0</v>
      </c>
      <c r="P21" s="2">
        <f t="shared" si="2"/>
        <v>0</v>
      </c>
      <c r="Q21" s="2">
        <f t="shared" si="2"/>
        <v>0</v>
      </c>
    </row>
    <row r="22" spans="1:24" x14ac:dyDescent="0.25">
      <c r="B22" s="2"/>
    </row>
    <row r="23" spans="1:24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24" x14ac:dyDescent="0.25">
      <c r="B24" s="2"/>
    </row>
    <row r="25" spans="1:24" x14ac:dyDescent="0.25">
      <c r="B25" s="2"/>
    </row>
    <row r="26" spans="1:24" x14ac:dyDescent="0.25">
      <c r="B26" s="2"/>
      <c r="I26" s="1">
        <f>I2+J2</f>
        <v>5.7563219999999999</v>
      </c>
      <c r="J26" s="1">
        <v>1.4390805</v>
      </c>
      <c r="K26" s="1">
        <v>4.3172414999999997</v>
      </c>
    </row>
    <row r="27" spans="1:24" x14ac:dyDescent="0.25">
      <c r="B27" s="2"/>
      <c r="I27" s="1">
        <f t="shared" ref="I27:I44" si="3">I3+J3</f>
        <v>9.2999999999999999E-2</v>
      </c>
      <c r="J27" s="1">
        <v>2.325E-2</v>
      </c>
      <c r="K27" s="1">
        <v>6.9750000000000006E-2</v>
      </c>
      <c r="N27" s="1">
        <f>G9+G10</f>
        <v>520.40300000000002</v>
      </c>
      <c r="O27" s="1">
        <f t="shared" ref="O27:X27" si="4">H9+H10</f>
        <v>111.756</v>
      </c>
      <c r="P27" s="1">
        <f t="shared" si="4"/>
        <v>0</v>
      </c>
      <c r="Q27" s="1">
        <f t="shared" si="4"/>
        <v>0</v>
      </c>
      <c r="R27" s="1">
        <f t="shared" si="4"/>
        <v>0</v>
      </c>
      <c r="S27" s="1">
        <f t="shared" si="4"/>
        <v>0</v>
      </c>
      <c r="T27" s="1">
        <f t="shared" si="4"/>
        <v>0</v>
      </c>
      <c r="U27" s="1">
        <f t="shared" si="4"/>
        <v>0</v>
      </c>
      <c r="V27" s="1">
        <f t="shared" si="4"/>
        <v>112.297</v>
      </c>
      <c r="W27" s="1">
        <f t="shared" si="4"/>
        <v>-19.978999999999999</v>
      </c>
      <c r="X27" s="1">
        <f t="shared" si="4"/>
        <v>0</v>
      </c>
    </row>
    <row r="28" spans="1:24" x14ac:dyDescent="0.25">
      <c r="B28" s="2"/>
      <c r="I28" s="1">
        <f t="shared" si="3"/>
        <v>12.35</v>
      </c>
      <c r="J28" s="1">
        <v>3.0874999999999999</v>
      </c>
      <c r="K28" s="1">
        <v>9.2624999999999993</v>
      </c>
    </row>
    <row r="29" spans="1:24" x14ac:dyDescent="0.25">
      <c r="B29" s="2"/>
      <c r="I29" s="1">
        <f t="shared" si="3"/>
        <v>114.551</v>
      </c>
      <c r="J29" s="1">
        <v>28.63775</v>
      </c>
      <c r="K29" s="1">
        <v>85.913250000000005</v>
      </c>
      <c r="N29" s="1">
        <v>130.10075000000001</v>
      </c>
      <c r="O29" s="1">
        <v>27.939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28.074249999999999</v>
      </c>
      <c r="W29" s="1">
        <v>-4.9947499999999998</v>
      </c>
      <c r="X29" s="1">
        <v>0</v>
      </c>
    </row>
    <row r="30" spans="1:24" x14ac:dyDescent="0.25">
      <c r="B30" s="2"/>
      <c r="I30" s="1">
        <f t="shared" si="3"/>
        <v>355.17200000000003</v>
      </c>
      <c r="J30" s="1">
        <v>88.793000000000006</v>
      </c>
      <c r="K30" s="1">
        <v>266.37900000000002</v>
      </c>
      <c r="N30" s="1">
        <v>390.30225000000002</v>
      </c>
      <c r="O30" s="1">
        <v>83.817000000000007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84.222749999999991</v>
      </c>
      <c r="W30" s="1">
        <v>-14.984249999999999</v>
      </c>
      <c r="X30" s="1">
        <v>0</v>
      </c>
    </row>
    <row r="31" spans="1:24" x14ac:dyDescent="0.25">
      <c r="B31" s="2"/>
      <c r="I31" s="1">
        <f t="shared" si="3"/>
        <v>0</v>
      </c>
      <c r="J31" s="1">
        <v>0</v>
      </c>
      <c r="K31" s="1">
        <v>0</v>
      </c>
    </row>
    <row r="32" spans="1:24" x14ac:dyDescent="0.25">
      <c r="B32" s="2"/>
      <c r="I32" s="1">
        <f t="shared" si="3"/>
        <v>0</v>
      </c>
      <c r="J32" s="1">
        <v>0</v>
      </c>
      <c r="K32" s="1">
        <v>0</v>
      </c>
    </row>
    <row r="33" spans="2:11" x14ac:dyDescent="0.25">
      <c r="B33" s="2"/>
      <c r="I33" s="1">
        <f t="shared" si="3"/>
        <v>0</v>
      </c>
      <c r="J33" s="1">
        <v>0</v>
      </c>
      <c r="K33" s="1">
        <v>0</v>
      </c>
    </row>
    <row r="34" spans="2:11" x14ac:dyDescent="0.25">
      <c r="B34" s="2"/>
      <c r="I34" s="1">
        <f t="shared" si="3"/>
        <v>0</v>
      </c>
      <c r="J34" s="1">
        <v>0</v>
      </c>
      <c r="K34" s="1">
        <v>0</v>
      </c>
    </row>
    <row r="35" spans="2:11" x14ac:dyDescent="0.25">
      <c r="B35" s="2"/>
      <c r="I35" s="1">
        <f t="shared" si="3"/>
        <v>0</v>
      </c>
      <c r="J35" s="1">
        <v>0</v>
      </c>
      <c r="K35" s="1">
        <v>0</v>
      </c>
    </row>
    <row r="36" spans="2:11" x14ac:dyDescent="0.25">
      <c r="B36" s="2"/>
      <c r="I36" s="1">
        <f t="shared" si="3"/>
        <v>167.709</v>
      </c>
      <c r="J36" s="1">
        <v>41.927250000000001</v>
      </c>
      <c r="K36" s="1">
        <v>125.78175</v>
      </c>
    </row>
    <row r="37" spans="2:11" x14ac:dyDescent="0.25">
      <c r="I37" s="1">
        <f t="shared" si="3"/>
        <v>52.375999999999998</v>
      </c>
      <c r="J37" s="1">
        <v>13.093999999999999</v>
      </c>
      <c r="K37" s="1">
        <v>39.281999999999996</v>
      </c>
    </row>
    <row r="38" spans="2:11" x14ac:dyDescent="0.25">
      <c r="I38" s="1">
        <f t="shared" si="3"/>
        <v>0</v>
      </c>
      <c r="J38" s="1">
        <v>0</v>
      </c>
      <c r="K38" s="1">
        <v>0</v>
      </c>
    </row>
    <row r="39" spans="2:11" x14ac:dyDescent="0.25">
      <c r="I39" s="1">
        <f t="shared" si="3"/>
        <v>0</v>
      </c>
      <c r="J39" s="1">
        <v>0</v>
      </c>
      <c r="K39" s="1">
        <v>0</v>
      </c>
    </row>
    <row r="40" spans="2:11" x14ac:dyDescent="0.25">
      <c r="I40" s="1">
        <f t="shared" si="3"/>
        <v>0</v>
      </c>
      <c r="J40" s="1">
        <v>0</v>
      </c>
      <c r="K40" s="1">
        <v>0</v>
      </c>
    </row>
    <row r="41" spans="2:11" x14ac:dyDescent="0.25">
      <c r="I41" s="1">
        <f t="shared" si="3"/>
        <v>16.47</v>
      </c>
      <c r="J41" s="1">
        <v>4.1174999999999997</v>
      </c>
      <c r="K41" s="1">
        <v>12.352499999999999</v>
      </c>
    </row>
    <row r="43" spans="2:11" x14ac:dyDescent="0.25">
      <c r="I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Alqershi</dc:creator>
  <cp:lastModifiedBy>Ahmed Alqershi</cp:lastModifiedBy>
  <dcterms:created xsi:type="dcterms:W3CDTF">2015-06-05T18:17:20Z</dcterms:created>
  <dcterms:modified xsi:type="dcterms:W3CDTF">2025-10-10T15:45:21Z</dcterms:modified>
</cp:coreProperties>
</file>